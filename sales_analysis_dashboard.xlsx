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shivanisunarkari/Desktop/"/>
    </mc:Choice>
  </mc:AlternateContent>
  <xr:revisionPtr revIDLastSave="0" documentId="8_{9173BF68-4246-3D41-85C4-CEF9B4A9B932}" xr6:coauthVersionLast="47" xr6:coauthVersionMax="47" xr10:uidLastSave="{00000000-0000-0000-0000-000000000000}"/>
  <bookViews>
    <workbookView xWindow="0" yWindow="640" windowWidth="29400" windowHeight="17340" activeTab="1" xr2:uid="{00000000-000D-0000-FFFF-FFFF00000000}"/>
  </bookViews>
  <sheets>
    <sheet name="Pivot tables and charts" sheetId="2" r:id="rId1"/>
    <sheet name="sales_dashboard" sheetId="4" r:id="rId2"/>
    <sheet name="sales_data" sheetId="1" r:id="rId3"/>
  </sheets>
  <calcPr calcId="191029"/>
  <pivotCaches>
    <pivotCache cacheId="28" r:id="rId4"/>
    <pivotCache cacheId="38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C20" i="1"/>
  <c r="C18" i="1"/>
  <c r="C17" i="1"/>
  <c r="N9" i="1"/>
  <c r="N10" i="1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M10" i="1"/>
  <c r="M11" i="1"/>
  <c r="N11" i="1" s="1"/>
  <c r="M2" i="1"/>
  <c r="N2" i="1" s="1"/>
  <c r="K3" i="1"/>
  <c r="K4" i="1"/>
  <c r="K5" i="1"/>
  <c r="K6" i="1"/>
  <c r="K7" i="1"/>
  <c r="K8" i="1"/>
  <c r="K9" i="1"/>
  <c r="K10" i="1"/>
  <c r="K11" i="1"/>
  <c r="K2" i="1"/>
  <c r="I3" i="1"/>
  <c r="P3" i="1" s="1"/>
  <c r="I4" i="1"/>
  <c r="P4" i="1" s="1"/>
  <c r="I5" i="1"/>
  <c r="I6" i="1"/>
  <c r="I7" i="1"/>
  <c r="I8" i="1"/>
  <c r="I9" i="1"/>
  <c r="I10" i="1"/>
  <c r="I11" i="1"/>
  <c r="I2" i="1"/>
  <c r="P2" i="1" s="1"/>
  <c r="L3" i="1"/>
  <c r="L4" i="1"/>
  <c r="L5" i="1"/>
  <c r="L6" i="1"/>
  <c r="L7" i="1"/>
  <c r="L8" i="1"/>
  <c r="L9" i="1"/>
  <c r="L10" i="1"/>
  <c r="L11" i="1"/>
  <c r="L2" i="1"/>
  <c r="C19" i="1" l="1"/>
</calcChain>
</file>

<file path=xl/sharedStrings.xml><?xml version="1.0" encoding="utf-8"?>
<sst xmlns="http://schemas.openxmlformats.org/spreadsheetml/2006/main" count="130" uniqueCount="62">
  <si>
    <t>2024-01-10</t>
  </si>
  <si>
    <t>Aisha</t>
  </si>
  <si>
    <t>Mumbai</t>
  </si>
  <si>
    <t>Laptop</t>
  </si>
  <si>
    <t>Electronics</t>
  </si>
  <si>
    <t>2024-01-15</t>
  </si>
  <si>
    <t>Ravi</t>
  </si>
  <si>
    <t>Delhi</t>
  </si>
  <si>
    <t>Phone</t>
  </si>
  <si>
    <t>2024-02-05</t>
  </si>
  <si>
    <t>Neha</t>
  </si>
  <si>
    <t>Bangalore</t>
  </si>
  <si>
    <t>Headphones</t>
  </si>
  <si>
    <t>Accessories</t>
  </si>
  <si>
    <t>2024-02-20</t>
  </si>
  <si>
    <t>Arjun</t>
  </si>
  <si>
    <t>Chennai</t>
  </si>
  <si>
    <t>Shoes</t>
  </si>
  <si>
    <t>Fashion</t>
  </si>
  <si>
    <t>2024-03-01</t>
  </si>
  <si>
    <t>Meera</t>
  </si>
  <si>
    <t>Hyderabad</t>
  </si>
  <si>
    <t>Watch</t>
  </si>
  <si>
    <t>2024-03-10</t>
  </si>
  <si>
    <t>2024-04-12</t>
  </si>
  <si>
    <t>2024-04-18</t>
  </si>
  <si>
    <t>2024-05-05</t>
  </si>
  <si>
    <t>2024-05-15</t>
  </si>
  <si>
    <t>Revenue</t>
  </si>
  <si>
    <t>Order Size</t>
  </si>
  <si>
    <t>Data Cleaning</t>
  </si>
  <si>
    <t>Discount</t>
  </si>
  <si>
    <t>Price Category</t>
  </si>
  <si>
    <t>After Discount</t>
  </si>
  <si>
    <t xml:space="preserve">VLookUP Table </t>
  </si>
  <si>
    <t>For discount</t>
  </si>
  <si>
    <t>CATEGORY</t>
  </si>
  <si>
    <t>DISCOUNT</t>
  </si>
  <si>
    <t>Category</t>
  </si>
  <si>
    <t>Quantity</t>
  </si>
  <si>
    <t>Price</t>
  </si>
  <si>
    <t>City</t>
  </si>
  <si>
    <t>Product_Name</t>
  </si>
  <si>
    <t>Product_id</t>
  </si>
  <si>
    <t>Customer_Name</t>
  </si>
  <si>
    <t>Customer_id</t>
  </si>
  <si>
    <t>Order_Date</t>
  </si>
  <si>
    <t>Order_id</t>
  </si>
  <si>
    <t>Maxmimum Price</t>
  </si>
  <si>
    <t>Average Quality</t>
  </si>
  <si>
    <t>Orders from Mumbai</t>
  </si>
  <si>
    <t>Total Revenue after discount</t>
  </si>
  <si>
    <t>Row Labels</t>
  </si>
  <si>
    <t>Grand Total</t>
  </si>
  <si>
    <t>Sum of After Discount</t>
  </si>
  <si>
    <t>Count of Order_id</t>
  </si>
  <si>
    <t>Bulk order</t>
  </si>
  <si>
    <t>Regular order</t>
  </si>
  <si>
    <t>Sales_Analysis_Dashboard</t>
  </si>
  <si>
    <t xml:space="preserve">Total Revenue </t>
  </si>
  <si>
    <t>Total Orders</t>
  </si>
  <si>
    <t>Total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</si>
</sst>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₹&quot;* #,##0.00_);_(&quot;₹&quot;* \(#,##0.00\);_(&quot;₹&quot;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44" fontId="0" fillId="0" borderId="0" xfId="1" applyFont="1"/>
    <xf numFmtId="0" fontId="1" fillId="0" borderId="2" xfId="0" applyFont="1" applyFill="1" applyBorder="1" applyAlignment="1">
      <alignment horizontal="center" vertical="top"/>
    </xf>
    <xf numFmtId="9" fontId="0" fillId="0" borderId="0" xfId="0" applyNumberFormat="1"/>
    <xf numFmtId="9" fontId="0" fillId="0" borderId="0" xfId="2" applyFont="1"/>
    <xf numFmtId="4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3" fillId="2" borderId="0" xfId="0" applyFont="1" applyFill="1"/>
    <xf numFmtId="0" fontId="6" fillId="2" borderId="0" xfId="0" applyFont="1" applyFill="1"/>
    <xf numFmtId="44" fontId="0" fillId="2" borderId="0" xfId="0" applyNumberFormat="1" applyFill="1"/>
  </cellXfs>
  <cellStyles count="3">
    <cellStyle name="Currency" xfId="1" builtinId="4"/>
    <cellStyle name="Normal" xfId="0" builtinId="0"/>
    <cellStyle name="Per cent" xfId="2" builtinId="5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[sales_analysis_dashboard.xlsx]Pivot tables and charts!PivotTable5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tables and charts'!$C$2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tables and charts'!$B$3:$B$6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Fashion</c:v>
                </c:pt>
              </c:strCache>
            </c:strRef>
          </c:cat>
          <c:val>
            <c:numRef>
              <c:f>'Pivot tables and charts'!$C$3:$C$6</c:f>
              <c:numCache>
                <c:formatCode>General</c:formatCode>
                <c:ptCount val="3"/>
                <c:pt idx="0">
                  <c:v>13300</c:v>
                </c:pt>
                <c:pt idx="1">
                  <c:v>189000</c:v>
                </c:pt>
                <c:pt idx="2">
                  <c:v>33120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6A-C443-8C2A-57E36C16A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24394799"/>
        <c:axId val="1723894223"/>
        <c:axId val="0"/>
      </c:bar3DChart>
      <c:catAx>
        <c:axId val="172439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894223"/>
        <c:crosses val="autoZero"/>
        <c:auto val="1"/>
        <c:lblAlgn val="ctr"/>
        <c:lblOffset val="100"/>
        <c:noMultiLvlLbl val="0"/>
      </c:catAx>
      <c:valAx>
        <c:axId val="172389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4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[sales_analysis_dashboard.xlsx]Pivot tables and charts!PivotTable6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tables and charts'!$I$2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402-CC46-99C9-DFD3C6112D1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8402-CC46-99C9-DFD3C6112D1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8402-CC46-99C9-DFD3C6112D1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402-CC46-99C9-DFD3C6112D1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8402-CC46-99C9-DFD3C6112D1A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402-CC46-99C9-DFD3C6112D1A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402-CC46-99C9-DFD3C6112D1A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402-CC46-99C9-DFD3C6112D1A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402-CC46-99C9-DFD3C6112D1A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402-CC46-99C9-DFD3C6112D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'Pivot tables and charts'!$H$3:$H$8</c:f>
              <c:strCache>
                <c:ptCount val="5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</c:strCache>
            </c:strRef>
          </c:cat>
          <c:val>
            <c:numRef>
              <c:f>'Pivot tables and charts'!$I$3:$I$8</c:f>
              <c:numCache>
                <c:formatCode>General</c:formatCode>
                <c:ptCount val="5"/>
                <c:pt idx="0">
                  <c:v>59700</c:v>
                </c:pt>
                <c:pt idx="1">
                  <c:v>16560</c:v>
                </c:pt>
                <c:pt idx="2">
                  <c:v>61600</c:v>
                </c:pt>
                <c:pt idx="3">
                  <c:v>16560</c:v>
                </c:pt>
                <c:pt idx="4">
                  <c:v>81000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02-CC46-99C9-DFD3C6112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[sales_analysis_dashboard.xlsx]Pivot tables and charts!PivotTable8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674970296232152"/>
          <c:y val="0.19486111111111112"/>
          <c:w val="0.76839942002134642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 and charts'!$H$26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and charts'!$G$27:$G$32</c:f>
              <c:strCache>
                <c:ptCount val="5"/>
                <c:pt idx="0">
                  <c:v>Aisha</c:v>
                </c:pt>
                <c:pt idx="1">
                  <c:v>Arjun</c:v>
                </c:pt>
                <c:pt idx="2">
                  <c:v>Meera</c:v>
                </c:pt>
                <c:pt idx="3">
                  <c:v>Neha</c:v>
                </c:pt>
                <c:pt idx="4">
                  <c:v>Ravi</c:v>
                </c:pt>
              </c:strCache>
            </c:strRef>
          </c:cat>
          <c:val>
            <c:numRef>
              <c:f>'Pivot tables and charts'!$H$27:$H$32</c:f>
              <c:numCache>
                <c:formatCode>General</c:formatCode>
                <c:ptCount val="5"/>
                <c:pt idx="0">
                  <c:v>81000</c:v>
                </c:pt>
                <c:pt idx="1">
                  <c:v>16560</c:v>
                </c:pt>
                <c:pt idx="2">
                  <c:v>16560</c:v>
                </c:pt>
                <c:pt idx="3">
                  <c:v>59700</c:v>
                </c:pt>
                <c:pt idx="4">
                  <c:v>61600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8F-9B4D-9E8A-6D7E58462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6655360"/>
        <c:axId val="356596608"/>
      </c:barChart>
      <c:catAx>
        <c:axId val="35665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596608"/>
        <c:crosses val="autoZero"/>
        <c:auto val="1"/>
        <c:lblAlgn val="ctr"/>
        <c:lblOffset val="100"/>
        <c:noMultiLvlLbl val="0"/>
      </c:catAx>
      <c:valAx>
        <c:axId val="35659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65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[sales_analysis_dashboard.xlsx]Pivot tables and charts!PivotTable9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 and charts'!$C$25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and charts'!$B$26:$B$36</c:f>
              <c:strCache>
                <c:ptCount val="10"/>
                <c:pt idx="0">
                  <c:v>2024-01-10</c:v>
                </c:pt>
                <c:pt idx="1">
                  <c:v>2024-01-15</c:v>
                </c:pt>
                <c:pt idx="2">
                  <c:v>2024-02-05</c:v>
                </c:pt>
                <c:pt idx="3">
                  <c:v>2024-02-20</c:v>
                </c:pt>
                <c:pt idx="4">
                  <c:v>2024-03-01</c:v>
                </c:pt>
                <c:pt idx="5">
                  <c:v>2024-03-10</c:v>
                </c:pt>
                <c:pt idx="6">
                  <c:v>2024-04-12</c:v>
                </c:pt>
                <c:pt idx="7">
                  <c:v>2024-04-18</c:v>
                </c:pt>
                <c:pt idx="8">
                  <c:v>2024-05-05</c:v>
                </c:pt>
                <c:pt idx="9">
                  <c:v>2024-05-15</c:v>
                </c:pt>
              </c:strCache>
            </c:strRef>
          </c:cat>
          <c:val>
            <c:numRef>
              <c:f>'Pivot tables and charts'!$C$26:$C$36</c:f>
              <c:numCache>
                <c:formatCode>General</c:formatCode>
                <c:ptCount val="10"/>
                <c:pt idx="0">
                  <c:v>54000</c:v>
                </c:pt>
                <c:pt idx="1">
                  <c:v>54000</c:v>
                </c:pt>
                <c:pt idx="2">
                  <c:v>5700</c:v>
                </c:pt>
                <c:pt idx="3">
                  <c:v>3680</c:v>
                </c:pt>
                <c:pt idx="4">
                  <c:v>12880</c:v>
                </c:pt>
                <c:pt idx="5">
                  <c:v>27000</c:v>
                </c:pt>
                <c:pt idx="6">
                  <c:v>7600</c:v>
                </c:pt>
                <c:pt idx="7">
                  <c:v>54000</c:v>
                </c:pt>
                <c:pt idx="8">
                  <c:v>12880</c:v>
                </c:pt>
                <c:pt idx="9">
                  <c:v>3680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04-4841-8799-52EA6A1EC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1012144"/>
        <c:axId val="1230779120"/>
      </c:barChart>
      <c:catAx>
        <c:axId val="123101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779120"/>
        <c:crosses val="autoZero"/>
        <c:auto val="1"/>
        <c:lblAlgn val="ctr"/>
        <c:lblOffset val="100"/>
        <c:noMultiLvlLbl val="0"/>
      </c:catAx>
      <c:valAx>
        <c:axId val="123077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01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[sales_analysis_dashboard.xlsx]Pivot tables and charts!PivotTable10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</a:t>
            </a:r>
            <a:r>
              <a:rPr lang="en-GB" baseline="0"/>
              <a:t> by Products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 and charts'!$O$2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and charts'!$N$3:$N$8</c:f>
              <c:strCache>
                <c:ptCount val="5"/>
                <c:pt idx="0">
                  <c:v>Headphones</c:v>
                </c:pt>
                <c:pt idx="1">
                  <c:v>Laptop</c:v>
                </c:pt>
                <c:pt idx="2">
                  <c:v>Phone</c:v>
                </c:pt>
                <c:pt idx="3">
                  <c:v>Shoes</c:v>
                </c:pt>
                <c:pt idx="4">
                  <c:v>Watch</c:v>
                </c:pt>
              </c:strCache>
            </c:strRef>
          </c:cat>
          <c:val>
            <c:numRef>
              <c:f>'Pivot tables and charts'!$O$3:$O$8</c:f>
              <c:numCache>
                <c:formatCode>General</c:formatCode>
                <c:ptCount val="5"/>
                <c:pt idx="0">
                  <c:v>13300</c:v>
                </c:pt>
                <c:pt idx="1">
                  <c:v>108000</c:v>
                </c:pt>
                <c:pt idx="2">
                  <c:v>81000</c:v>
                </c:pt>
                <c:pt idx="3">
                  <c:v>7360</c:v>
                </c:pt>
                <c:pt idx="4">
                  <c:v>25760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60-A545-BE79-A7A4995CB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0565840"/>
        <c:axId val="1256095232"/>
      </c:barChart>
      <c:catAx>
        <c:axId val="1170565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095232"/>
        <c:crosses val="autoZero"/>
        <c:auto val="1"/>
        <c:lblAlgn val="ctr"/>
        <c:lblOffset val="100"/>
        <c:noMultiLvlLbl val="0"/>
      </c:catAx>
      <c:valAx>
        <c:axId val="125609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56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[sales_analysis_dashboard.xlsx]Pivot tables and charts!PivotTable13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</a:t>
            </a:r>
            <a:r>
              <a:rPr lang="en-US" baseline="0"/>
              <a:t> Size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 and charts'!$O$27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and charts'!$N$28:$N$30</c:f>
              <c:strCache>
                <c:ptCount val="2"/>
                <c:pt idx="0">
                  <c:v>Bulk order</c:v>
                </c:pt>
                <c:pt idx="1">
                  <c:v>Regular order</c:v>
                </c:pt>
              </c:strCache>
            </c:strRef>
          </c:cat>
          <c:val>
            <c:numRef>
              <c:f>'Pivot tables and charts'!$O$28:$O$30</c:f>
              <c:numCache>
                <c:formatCode>General</c:formatCode>
                <c:ptCount val="2"/>
                <c:pt idx="0">
                  <c:v>2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87-9E4B-A27B-F15A73A28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87181119"/>
        <c:axId val="1187099183"/>
      </c:barChart>
      <c:catAx>
        <c:axId val="118718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099183"/>
        <c:crosses val="autoZero"/>
        <c:auto val="1"/>
        <c:lblAlgn val="ctr"/>
        <c:lblOffset val="100"/>
        <c:noMultiLvlLbl val="0"/>
      </c:catAx>
      <c:valAx>
        <c:axId val="118709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181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[sales_analysis_dashboard.xlsx]Pivot tables and charts!PivotTable5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tables and charts'!$C$2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tables and charts'!$B$3:$B$6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Fashion</c:v>
                </c:pt>
              </c:strCache>
            </c:strRef>
          </c:cat>
          <c:val>
            <c:numRef>
              <c:f>'Pivot tables and charts'!$C$3:$C$6</c:f>
              <c:numCache>
                <c:formatCode>General</c:formatCode>
                <c:ptCount val="3"/>
                <c:pt idx="0">
                  <c:v>13300</c:v>
                </c:pt>
                <c:pt idx="1">
                  <c:v>189000</c:v>
                </c:pt>
                <c:pt idx="2">
                  <c:v>33120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7-A14A-A81D-C657F63E0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24394799"/>
        <c:axId val="1723894223"/>
        <c:axId val="0"/>
      </c:bar3DChart>
      <c:catAx>
        <c:axId val="172439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894223"/>
        <c:crosses val="autoZero"/>
        <c:auto val="1"/>
        <c:lblAlgn val="ctr"/>
        <c:lblOffset val="100"/>
        <c:noMultiLvlLbl val="0"/>
      </c:catAx>
      <c:valAx>
        <c:axId val="1723894223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4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[sales_analysis_dashboard.xlsx]Pivot tables and charts!PivotTable10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</a:t>
            </a:r>
            <a:r>
              <a:rPr lang="en-GB" baseline="0"/>
              <a:t> by Products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 and charts'!$O$2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and charts'!$N$3:$N$8</c:f>
              <c:strCache>
                <c:ptCount val="5"/>
                <c:pt idx="0">
                  <c:v>Headphones</c:v>
                </c:pt>
                <c:pt idx="1">
                  <c:v>Laptop</c:v>
                </c:pt>
                <c:pt idx="2">
                  <c:v>Phone</c:v>
                </c:pt>
                <c:pt idx="3">
                  <c:v>Shoes</c:v>
                </c:pt>
                <c:pt idx="4">
                  <c:v>Watch</c:v>
                </c:pt>
              </c:strCache>
            </c:strRef>
          </c:cat>
          <c:val>
            <c:numRef>
              <c:f>'Pivot tables and charts'!$O$3:$O$8</c:f>
              <c:numCache>
                <c:formatCode>General</c:formatCode>
                <c:ptCount val="5"/>
                <c:pt idx="0">
                  <c:v>13300</c:v>
                </c:pt>
                <c:pt idx="1">
                  <c:v>108000</c:v>
                </c:pt>
                <c:pt idx="2">
                  <c:v>81000</c:v>
                </c:pt>
                <c:pt idx="3">
                  <c:v>7360</c:v>
                </c:pt>
                <c:pt idx="4">
                  <c:v>25760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CD-6645-B894-030FD8DA1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0565840"/>
        <c:axId val="1256095232"/>
      </c:barChart>
      <c:catAx>
        <c:axId val="1170565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095232"/>
        <c:crosses val="autoZero"/>
        <c:auto val="1"/>
        <c:lblAlgn val="ctr"/>
        <c:lblOffset val="100"/>
        <c:noMultiLvlLbl val="0"/>
      </c:catAx>
      <c:valAx>
        <c:axId val="125609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56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[sales_analysis_dashboard.xlsx]Pivot tables and charts!PivotTable6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tables and charts'!$I$2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C19-DC4E-8FCD-E4FA208E8E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C19-DC4E-8FCD-E4FA208E8E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C19-DC4E-8FCD-E4FA208E8E1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C19-DC4E-8FCD-E4FA208E8E1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C19-DC4E-8FCD-E4FA208E8E15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C19-DC4E-8FCD-E4FA208E8E15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C19-DC4E-8FCD-E4FA208E8E15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C19-DC4E-8FCD-E4FA208E8E15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C19-DC4E-8FCD-E4FA208E8E15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C19-DC4E-8FCD-E4FA208E8E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'Pivot tables and charts'!$H$3:$H$8</c:f>
              <c:strCache>
                <c:ptCount val="5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</c:strCache>
            </c:strRef>
          </c:cat>
          <c:val>
            <c:numRef>
              <c:f>'Pivot tables and charts'!$I$3:$I$8</c:f>
              <c:numCache>
                <c:formatCode>General</c:formatCode>
                <c:ptCount val="5"/>
                <c:pt idx="0">
                  <c:v>59700</c:v>
                </c:pt>
                <c:pt idx="1">
                  <c:v>16560</c:v>
                </c:pt>
                <c:pt idx="2">
                  <c:v>61600</c:v>
                </c:pt>
                <c:pt idx="3">
                  <c:v>16560</c:v>
                </c:pt>
                <c:pt idx="4">
                  <c:v>81000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C19-DC4E-8FCD-E4FA208E8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[sales_analysis_dashboard.xlsx]Pivot tables and charts!PivotTable9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 and charts'!$C$25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and charts'!$B$26:$B$36</c:f>
              <c:strCache>
                <c:ptCount val="10"/>
                <c:pt idx="0">
                  <c:v>2024-01-10</c:v>
                </c:pt>
                <c:pt idx="1">
                  <c:v>2024-01-15</c:v>
                </c:pt>
                <c:pt idx="2">
                  <c:v>2024-02-05</c:v>
                </c:pt>
                <c:pt idx="3">
                  <c:v>2024-02-20</c:v>
                </c:pt>
                <c:pt idx="4">
                  <c:v>2024-03-01</c:v>
                </c:pt>
                <c:pt idx="5">
                  <c:v>2024-03-10</c:v>
                </c:pt>
                <c:pt idx="6">
                  <c:v>2024-04-12</c:v>
                </c:pt>
                <c:pt idx="7">
                  <c:v>2024-04-18</c:v>
                </c:pt>
                <c:pt idx="8">
                  <c:v>2024-05-05</c:v>
                </c:pt>
                <c:pt idx="9">
                  <c:v>2024-05-15</c:v>
                </c:pt>
              </c:strCache>
            </c:strRef>
          </c:cat>
          <c:val>
            <c:numRef>
              <c:f>'Pivot tables and charts'!$C$26:$C$36</c:f>
              <c:numCache>
                <c:formatCode>General</c:formatCode>
                <c:ptCount val="10"/>
                <c:pt idx="0">
                  <c:v>54000</c:v>
                </c:pt>
                <c:pt idx="1">
                  <c:v>54000</c:v>
                </c:pt>
                <c:pt idx="2">
                  <c:v>5700</c:v>
                </c:pt>
                <c:pt idx="3">
                  <c:v>3680</c:v>
                </c:pt>
                <c:pt idx="4">
                  <c:v>12880</c:v>
                </c:pt>
                <c:pt idx="5">
                  <c:v>27000</c:v>
                </c:pt>
                <c:pt idx="6">
                  <c:v>7600</c:v>
                </c:pt>
                <c:pt idx="7">
                  <c:v>54000</c:v>
                </c:pt>
                <c:pt idx="8">
                  <c:v>12880</c:v>
                </c:pt>
                <c:pt idx="9">
                  <c:v>3680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1A-2448-AF2D-ED7C4A76A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1012144"/>
        <c:axId val="1230779120"/>
      </c:barChart>
      <c:catAx>
        <c:axId val="123101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779120"/>
        <c:crosses val="autoZero"/>
        <c:auto val="1"/>
        <c:lblAlgn val="ctr"/>
        <c:lblOffset val="100"/>
        <c:noMultiLvlLbl val="0"/>
      </c:catAx>
      <c:valAx>
        <c:axId val="123077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01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7</xdr:row>
      <xdr:rowOff>0</xdr:rowOff>
    </xdr:from>
    <xdr:to>
      <xdr:col>4</xdr:col>
      <xdr:colOff>571500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327FCB-C5C1-8BB9-D7D5-62E4485045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8</xdr:row>
      <xdr:rowOff>127000</xdr:rowOff>
    </xdr:from>
    <xdr:to>
      <xdr:col>9</xdr:col>
      <xdr:colOff>1143000</xdr:colOff>
      <xdr:row>23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02C6CE-4BC8-7822-62BF-BB18A73D24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965200</xdr:colOff>
      <xdr:row>33</xdr:row>
      <xdr:rowOff>0</xdr:rowOff>
    </xdr:from>
    <xdr:to>
      <xdr:col>8</xdr:col>
      <xdr:colOff>1168400</xdr:colOff>
      <xdr:row>47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683B99-2344-F327-BF29-E55FFD0C88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25400</xdr:colOff>
      <xdr:row>37</xdr:row>
      <xdr:rowOff>12700</xdr:rowOff>
    </xdr:from>
    <xdr:to>
      <xdr:col>4</xdr:col>
      <xdr:colOff>546100</xdr:colOff>
      <xdr:row>51</xdr:row>
      <xdr:rowOff>88900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717533D-8A00-E44B-5B98-6C3E82263A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469900</xdr:colOff>
      <xdr:row>9</xdr:row>
      <xdr:rowOff>25400</xdr:rowOff>
    </xdr:from>
    <xdr:to>
      <xdr:col>16</xdr:col>
      <xdr:colOff>609600</xdr:colOff>
      <xdr:row>23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53CE42C-B769-DC20-4EA6-F87ED30A25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533400</xdr:colOff>
      <xdr:row>31</xdr:row>
      <xdr:rowOff>0</xdr:rowOff>
    </xdr:from>
    <xdr:to>
      <xdr:col>16</xdr:col>
      <xdr:colOff>469900</xdr:colOff>
      <xdr:row>45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E82330C-C03B-F96A-28D9-9B4D8124DE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596900</xdr:colOff>
      <xdr:row>5</xdr:row>
      <xdr:rowOff>228600</xdr:rowOff>
    </xdr:from>
    <xdr:to>
      <xdr:col>7</xdr:col>
      <xdr:colOff>101600</xdr:colOff>
      <xdr:row>19</xdr:row>
      <xdr:rowOff>304800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701046-9711-824C-9AF3-228E401450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177800</xdr:colOff>
      <xdr:row>5</xdr:row>
      <xdr:rowOff>228600</xdr:rowOff>
    </xdr:from>
    <xdr:to>
      <xdr:col>14</xdr:col>
      <xdr:colOff>342900</xdr:colOff>
      <xdr:row>19</xdr:row>
      <xdr:rowOff>304800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4AE135-5D0E-A944-98E2-653B4D09E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571500</xdr:colOff>
      <xdr:row>20</xdr:row>
      <xdr:rowOff>266700</xdr:rowOff>
    </xdr:from>
    <xdr:to>
      <xdr:col>7</xdr:col>
      <xdr:colOff>101600</xdr:colOff>
      <xdr:row>35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144B3F-AE8B-6343-B8CF-C29E43C388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177800</xdr:colOff>
      <xdr:row>20</xdr:row>
      <xdr:rowOff>241300</xdr:rowOff>
    </xdr:from>
    <xdr:to>
      <xdr:col>14</xdr:col>
      <xdr:colOff>406400</xdr:colOff>
      <xdr:row>34</xdr:row>
      <xdr:rowOff>317500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BCBB51F-60DE-9244-B65D-9597BE02D7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ani Sunarkari" refreshedDate="46092.793844097221" createdVersion="8" refreshedVersion="8" minRefreshableVersion="3" recordCount="11" xr:uid="{55A616CD-FE42-A643-90D0-0CB688DE5424}">
  <cacheSource type="worksheet">
    <worksheetSource ref="A1:O12" sheet="sales_data"/>
  </cacheSource>
  <cacheFields count="15">
    <cacheField name="Order_id" numFmtId="0">
      <sharedItems containsString="0" containsBlank="1" containsNumber="1" containsInteger="1" minValue="1" maxValue="10" count="11">
        <n v="1"/>
        <n v="2"/>
        <n v="3"/>
        <n v="4"/>
        <n v="5"/>
        <n v="6"/>
        <n v="7"/>
        <n v="8"/>
        <n v="9"/>
        <n v="10"/>
        <m/>
      </sharedItems>
    </cacheField>
    <cacheField name="Order_Date" numFmtId="0">
      <sharedItems containsBlank="1" count="11">
        <s v="2024-01-10"/>
        <s v="2024-01-15"/>
        <s v="2024-02-05"/>
        <s v="2024-02-20"/>
        <s v="2024-03-01"/>
        <s v="2024-03-10"/>
        <s v="2024-04-12"/>
        <s v="2024-04-18"/>
        <s v="2024-05-05"/>
        <s v="2024-05-15"/>
        <m/>
      </sharedItems>
    </cacheField>
    <cacheField name="Customer_id" numFmtId="0">
      <sharedItems containsString="0" containsBlank="1" containsNumber="1" containsInteger="1" minValue="1" maxValue="5"/>
    </cacheField>
    <cacheField name="Customer_Name" numFmtId="0">
      <sharedItems containsBlank="1"/>
    </cacheField>
    <cacheField name="Product_id" numFmtId="0">
      <sharedItems containsString="0" containsBlank="1" containsNumber="1" containsInteger="1" minValue="1" maxValue="5"/>
    </cacheField>
    <cacheField name="Product_Name" numFmtId="0">
      <sharedItems containsBlank="1"/>
    </cacheField>
    <cacheField name="Category" numFmtId="0">
      <sharedItems containsBlank="1" count="4">
        <s v="Electronics"/>
        <s v="Accessories"/>
        <s v="Fashion"/>
        <m/>
      </sharedItems>
    </cacheField>
    <cacheField name="Quantity" numFmtId="0">
      <sharedItems containsString="0" containsBlank="1" containsNumber="1" containsInteger="1" minValue="1" maxValue="4"/>
    </cacheField>
    <cacheField name="Order Size" numFmtId="0">
      <sharedItems containsBlank="1"/>
    </cacheField>
    <cacheField name="Price" numFmtId="0">
      <sharedItems containsString="0" containsBlank="1" containsNumber="1" containsInteger="1" minValue="2000" maxValue="60000"/>
    </cacheField>
    <cacheField name="Price Category" numFmtId="0">
      <sharedItems containsBlank="1"/>
    </cacheField>
    <cacheField name="Revenue" numFmtId="0">
      <sharedItems containsString="0" containsBlank="1" containsNumber="1" containsInteger="1" minValue="4000" maxValue="60000"/>
    </cacheField>
    <cacheField name="Discount" numFmtId="0">
      <sharedItems containsString="0" containsBlank="1" containsNumber="1" minValue="0.05" maxValue="0.1"/>
    </cacheField>
    <cacheField name="After Discount" numFmtId="0">
      <sharedItems containsString="0" containsBlank="1" containsNumber="1" containsInteger="1" minValue="3680" maxValue="54000"/>
    </cacheField>
    <cacheField name="Cit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ani Sunarkari" refreshedDate="46092.795446180557" createdVersion="8" refreshedVersion="8" minRefreshableVersion="3" recordCount="10" xr:uid="{59E9DA2D-D95D-F14B-9237-72C1EB3B930F}">
  <cacheSource type="worksheet">
    <worksheetSource ref="A1:O11" sheet="sales_data"/>
  </cacheSource>
  <cacheFields count="15">
    <cacheField name="Order_id" numFmtId="0">
      <sharedItems containsSemiMixedTypes="0" containsString="0" containsNumber="1" containsInteger="1" minValue="1" maxValue="10"/>
    </cacheField>
    <cacheField name="Order_Date" numFmtId="0">
      <sharedItems count="10">
        <s v="2024-01-10"/>
        <s v="2024-01-15"/>
        <s v="2024-02-05"/>
        <s v="2024-02-20"/>
        <s v="2024-03-01"/>
        <s v="2024-03-10"/>
        <s v="2024-04-12"/>
        <s v="2024-04-18"/>
        <s v="2024-05-05"/>
        <s v="2024-05-15"/>
      </sharedItems>
    </cacheField>
    <cacheField name="Customer_id" numFmtId="0">
      <sharedItems containsSemiMixedTypes="0" containsString="0" containsNumber="1" containsInteger="1" minValue="1" maxValue="5"/>
    </cacheField>
    <cacheField name="Customer_Name" numFmtId="0">
      <sharedItems count="5">
        <s v="Aisha"/>
        <s v="Ravi"/>
        <s v="Neha"/>
        <s v="Arjun"/>
        <s v="Meera"/>
      </sharedItems>
    </cacheField>
    <cacheField name="Product_id" numFmtId="0">
      <sharedItems containsSemiMixedTypes="0" containsString="0" containsNumber="1" containsInteger="1" minValue="1" maxValue="5"/>
    </cacheField>
    <cacheField name="Product_Name" numFmtId="0">
      <sharedItems count="5">
        <s v="Laptop"/>
        <s v="Phone"/>
        <s v="Headphones"/>
        <s v="Shoes"/>
        <s v="Watch"/>
      </sharedItems>
    </cacheField>
    <cacheField name="Category" numFmtId="0">
      <sharedItems count="3">
        <s v="Electronics"/>
        <s v="Accessories"/>
        <s v="Fashion"/>
      </sharedItems>
    </cacheField>
    <cacheField name="Quantity" numFmtId="0">
      <sharedItems containsSemiMixedTypes="0" containsString="0" containsNumber="1" containsInteger="1" minValue="1" maxValue="4"/>
    </cacheField>
    <cacheField name="Order Size" numFmtId="44">
      <sharedItems count="2">
        <s v="Regular order"/>
        <s v="Bulk order"/>
      </sharedItems>
    </cacheField>
    <cacheField name="Price" numFmtId="44">
      <sharedItems containsSemiMixedTypes="0" containsString="0" containsNumber="1" containsInteger="1" minValue="2000" maxValue="60000"/>
    </cacheField>
    <cacheField name="Price Category" numFmtId="44">
      <sharedItems count="2">
        <s v="High"/>
        <s v="Low"/>
      </sharedItems>
    </cacheField>
    <cacheField name="Revenue" numFmtId="44">
      <sharedItems containsSemiMixedTypes="0" containsString="0" containsNumber="1" containsInteger="1" minValue="4000" maxValue="60000"/>
    </cacheField>
    <cacheField name="Discount" numFmtId="9">
      <sharedItems containsSemiMixedTypes="0" containsString="0" containsNumber="1" minValue="0.05" maxValue="0.1"/>
    </cacheField>
    <cacheField name="After Discount" numFmtId="44">
      <sharedItems containsSemiMixedTypes="0" containsString="0" containsNumber="1" containsInteger="1" minValue="3680" maxValue="54000"/>
    </cacheField>
    <cacheField name="City" numFmtId="0">
      <sharedItems count="5">
        <s v="Mumbai"/>
        <s v="Delhi"/>
        <s v="Bangalore"/>
        <s v="Chennai"/>
        <s v="Hyderaba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x v="0"/>
    <n v="1"/>
    <s v="Aisha"/>
    <n v="1"/>
    <s v="Laptop"/>
    <x v="0"/>
    <n v="1"/>
    <s v="Regular order"/>
    <n v="60000"/>
    <s v="High"/>
    <n v="60000"/>
    <n v="0.1"/>
    <n v="54000"/>
    <s v="Mumbai"/>
  </r>
  <r>
    <x v="1"/>
    <x v="1"/>
    <n v="2"/>
    <s v="Ravi"/>
    <n v="2"/>
    <s v="Phone"/>
    <x v="0"/>
    <n v="2"/>
    <s v="Regular order"/>
    <n v="30000"/>
    <s v="High"/>
    <n v="60000"/>
    <n v="0.1"/>
    <n v="54000"/>
    <s v="Delhi"/>
  </r>
  <r>
    <x v="2"/>
    <x v="2"/>
    <n v="3"/>
    <s v="Neha"/>
    <n v="3"/>
    <s v="Headphones"/>
    <x v="1"/>
    <n v="3"/>
    <s v="Bulk order"/>
    <n v="2000"/>
    <s v="Low"/>
    <n v="6000"/>
    <n v="0.05"/>
    <n v="5700"/>
    <s v="Bangalore"/>
  </r>
  <r>
    <x v="3"/>
    <x v="3"/>
    <n v="4"/>
    <s v="Arjun"/>
    <n v="4"/>
    <s v="Shoes"/>
    <x v="2"/>
    <n v="1"/>
    <s v="Regular order"/>
    <n v="4000"/>
    <s v="Low"/>
    <n v="4000"/>
    <n v="0.08"/>
    <n v="3680"/>
    <s v="Chennai"/>
  </r>
  <r>
    <x v="4"/>
    <x v="4"/>
    <n v="5"/>
    <s v="Meera"/>
    <n v="5"/>
    <s v="Watch"/>
    <x v="2"/>
    <n v="2"/>
    <s v="Regular order"/>
    <n v="7000"/>
    <s v="Low"/>
    <n v="14000"/>
    <n v="0.08"/>
    <n v="12880"/>
    <s v="Hyderabad"/>
  </r>
  <r>
    <x v="5"/>
    <x v="5"/>
    <n v="1"/>
    <s v="Aisha"/>
    <n v="2"/>
    <s v="Phone"/>
    <x v="0"/>
    <n v="1"/>
    <s v="Regular order"/>
    <n v="30000"/>
    <s v="High"/>
    <n v="30000"/>
    <n v="0.1"/>
    <n v="27000"/>
    <s v="Mumbai"/>
  </r>
  <r>
    <x v="6"/>
    <x v="6"/>
    <n v="2"/>
    <s v="Ravi"/>
    <n v="3"/>
    <s v="Headphones"/>
    <x v="1"/>
    <n v="4"/>
    <s v="Bulk order"/>
    <n v="2000"/>
    <s v="Low"/>
    <n v="8000"/>
    <n v="0.05"/>
    <n v="7600"/>
    <s v="Delhi"/>
  </r>
  <r>
    <x v="7"/>
    <x v="7"/>
    <n v="3"/>
    <s v="Neha"/>
    <n v="1"/>
    <s v="Laptop"/>
    <x v="0"/>
    <n v="1"/>
    <s v="Regular order"/>
    <n v="60000"/>
    <s v="High"/>
    <n v="60000"/>
    <n v="0.1"/>
    <n v="54000"/>
    <s v="Bangalore"/>
  </r>
  <r>
    <x v="8"/>
    <x v="8"/>
    <n v="4"/>
    <s v="Arjun"/>
    <n v="5"/>
    <s v="Watch"/>
    <x v="2"/>
    <n v="2"/>
    <s v="Regular order"/>
    <n v="7000"/>
    <s v="Low"/>
    <n v="14000"/>
    <n v="0.08"/>
    <n v="12880"/>
    <s v="Chennai"/>
  </r>
  <r>
    <x v="9"/>
    <x v="9"/>
    <n v="5"/>
    <s v="Meera"/>
    <n v="4"/>
    <s v="Shoes"/>
    <x v="2"/>
    <n v="1"/>
    <s v="Regular order"/>
    <n v="4000"/>
    <s v="Low"/>
    <n v="4000"/>
    <n v="0.08"/>
    <n v="3680"/>
    <s v="Hyderabad"/>
  </r>
  <r>
    <x v="10"/>
    <x v="10"/>
    <m/>
    <m/>
    <m/>
    <m/>
    <x v="3"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x v="0"/>
    <n v="1"/>
    <x v="0"/>
    <n v="1"/>
    <x v="0"/>
    <x v="0"/>
    <n v="1"/>
    <x v="0"/>
    <n v="60000"/>
    <x v="0"/>
    <n v="60000"/>
    <n v="0.1"/>
    <n v="54000"/>
    <x v="0"/>
  </r>
  <r>
    <n v="2"/>
    <x v="1"/>
    <n v="2"/>
    <x v="1"/>
    <n v="2"/>
    <x v="1"/>
    <x v="0"/>
    <n v="2"/>
    <x v="0"/>
    <n v="30000"/>
    <x v="0"/>
    <n v="60000"/>
    <n v="0.1"/>
    <n v="54000"/>
    <x v="1"/>
  </r>
  <r>
    <n v="3"/>
    <x v="2"/>
    <n v="3"/>
    <x v="2"/>
    <n v="3"/>
    <x v="2"/>
    <x v="1"/>
    <n v="3"/>
    <x v="1"/>
    <n v="2000"/>
    <x v="1"/>
    <n v="6000"/>
    <n v="0.05"/>
    <n v="5700"/>
    <x v="2"/>
  </r>
  <r>
    <n v="4"/>
    <x v="3"/>
    <n v="4"/>
    <x v="3"/>
    <n v="4"/>
    <x v="3"/>
    <x v="2"/>
    <n v="1"/>
    <x v="0"/>
    <n v="4000"/>
    <x v="1"/>
    <n v="4000"/>
    <n v="0.08"/>
    <n v="3680"/>
    <x v="3"/>
  </r>
  <r>
    <n v="5"/>
    <x v="4"/>
    <n v="5"/>
    <x v="4"/>
    <n v="5"/>
    <x v="4"/>
    <x v="2"/>
    <n v="2"/>
    <x v="0"/>
    <n v="7000"/>
    <x v="1"/>
    <n v="14000"/>
    <n v="0.08"/>
    <n v="12880"/>
    <x v="4"/>
  </r>
  <r>
    <n v="6"/>
    <x v="5"/>
    <n v="1"/>
    <x v="0"/>
    <n v="2"/>
    <x v="1"/>
    <x v="0"/>
    <n v="1"/>
    <x v="0"/>
    <n v="30000"/>
    <x v="0"/>
    <n v="30000"/>
    <n v="0.1"/>
    <n v="27000"/>
    <x v="0"/>
  </r>
  <r>
    <n v="7"/>
    <x v="6"/>
    <n v="2"/>
    <x v="1"/>
    <n v="3"/>
    <x v="2"/>
    <x v="1"/>
    <n v="4"/>
    <x v="1"/>
    <n v="2000"/>
    <x v="1"/>
    <n v="8000"/>
    <n v="0.05"/>
    <n v="7600"/>
    <x v="1"/>
  </r>
  <r>
    <n v="8"/>
    <x v="7"/>
    <n v="3"/>
    <x v="2"/>
    <n v="1"/>
    <x v="0"/>
    <x v="0"/>
    <n v="1"/>
    <x v="0"/>
    <n v="60000"/>
    <x v="0"/>
    <n v="60000"/>
    <n v="0.1"/>
    <n v="54000"/>
    <x v="2"/>
  </r>
  <r>
    <n v="9"/>
    <x v="8"/>
    <n v="4"/>
    <x v="3"/>
    <n v="5"/>
    <x v="4"/>
    <x v="2"/>
    <n v="2"/>
    <x v="0"/>
    <n v="7000"/>
    <x v="1"/>
    <n v="14000"/>
    <n v="0.08"/>
    <n v="12880"/>
    <x v="3"/>
  </r>
  <r>
    <n v="10"/>
    <x v="9"/>
    <n v="5"/>
    <x v="4"/>
    <n v="4"/>
    <x v="3"/>
    <x v="2"/>
    <n v="1"/>
    <x v="0"/>
    <n v="4000"/>
    <x v="1"/>
    <n v="4000"/>
    <n v="0.08"/>
    <n v="368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AB3258-6A56-994C-A9EE-BF9EC158141B}" name="PivotTable13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N27:O30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numFmtId="44" showAll="0"/>
    <pivotField showAll="0"/>
    <pivotField numFmtId="44" showAll="0"/>
    <pivotField numFmtId="9" showAll="0"/>
    <pivotField numFmtId="44"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Order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E77EA9-C245-F242-9DE4-BEFCEBF337FD}" name="PivotTable10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N2:O8" firstHeaderRow="1" firstDataRow="1" firstDataCol="1"/>
  <pivotFields count="15"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showAll="0"/>
    <pivotField numFmtId="44" showAll="0"/>
    <pivotField showAll="0"/>
    <pivotField numFmtId="44" showAll="0"/>
    <pivotField numFmtId="9" showAll="0"/>
    <pivotField dataField="1" numFmtId="44"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fter Discount" fld="13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8B5CA3-4F23-694D-B084-ED835A85D7BF}" name="PivotTable9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25:C36" firstHeaderRow="1" firstDataRow="1" firstDataCol="1"/>
  <pivotFields count="15"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44" showAll="0"/>
    <pivotField showAll="0"/>
    <pivotField numFmtId="44" showAll="0"/>
    <pivotField numFmtId="9" showAll="0"/>
    <pivotField dataField="1" numFmtId="44"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After Discount" fld="1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20D881-E231-D146-96C4-860C6A2EDE33}" name="PivotTable8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G26:H32" firstHeaderRow="1" firstDataRow="1" firstDataCol="1"/>
  <pivotFields count="15">
    <pivotField showAll="0"/>
    <pivotField showAll="0"/>
    <pivotField showAll="0"/>
    <pivotField axis="axisRow"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/>
    <pivotField showAll="0"/>
    <pivotField showAll="0"/>
    <pivotField numFmtId="44" showAll="0"/>
    <pivotField showAll="0"/>
    <pivotField numFmtId="44" showAll="0"/>
    <pivotField numFmtId="9" showAll="0"/>
    <pivotField dataField="1" numFmtId="44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fter Discount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8D18C6-E33F-B147-A59C-244C39FD6E76}" name="PivotTable6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H2:I8" firstHeaderRow="1" firstDataRow="1" firstDataCol="1"/>
  <pivotFields count="15">
    <pivotField showAll="0"/>
    <pivotField showAll="0"/>
    <pivotField showAll="0"/>
    <pivotField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/>
    <pivotField showAll="0"/>
    <pivotField showAll="0"/>
    <pivotField numFmtId="44" showAll="0"/>
    <pivotField showAll="0">
      <items count="3">
        <item x="0"/>
        <item x="1"/>
        <item t="default"/>
      </items>
    </pivotField>
    <pivotField numFmtId="44" showAll="0"/>
    <pivotField numFmtId="9" showAll="0"/>
    <pivotField dataField="1" numFmtId="44" showAll="0"/>
    <pivotField axis="axisRow" showAll="0">
      <items count="6">
        <item x="2"/>
        <item x="3"/>
        <item x="1"/>
        <item x="4"/>
        <item x="0"/>
        <item t="default"/>
      </items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fter Discount" fld="13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35B927-3327-D74E-99E5-FC50437DB29B}" name="PivotTable5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2:C6" firstHeaderRow="1" firstDataRow="1" firstDataCol="1"/>
  <pivotFields count="15"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axis="axisRow"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fter Discount" fld="1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8AE82-DDC2-194C-9F17-D6F5C0988DC2}">
  <dimension ref="B2:O36"/>
  <sheetViews>
    <sheetView workbookViewId="0">
      <selection activeCell="T33" sqref="T33"/>
    </sheetView>
  </sheetViews>
  <sheetFormatPr baseColWidth="10" defaultRowHeight="15" x14ac:dyDescent="0.2"/>
  <cols>
    <col min="1" max="1" width="12.1640625" bestFit="1" customWidth="1"/>
    <col min="2" max="2" width="20.1640625" customWidth="1"/>
    <col min="3" max="3" width="18" bestFit="1" customWidth="1"/>
    <col min="4" max="4" width="12.1640625" bestFit="1" customWidth="1"/>
    <col min="5" max="5" width="18" bestFit="1" customWidth="1"/>
    <col min="6" max="6" width="22.83203125" customWidth="1"/>
    <col min="7" max="7" width="20.1640625" customWidth="1"/>
    <col min="8" max="8" width="19.5" customWidth="1"/>
    <col min="9" max="9" width="17.33203125" customWidth="1"/>
    <col min="10" max="10" width="18" bestFit="1" customWidth="1"/>
    <col min="14" max="14" width="12.1640625" bestFit="1" customWidth="1"/>
    <col min="15" max="15" width="18" bestFit="1" customWidth="1"/>
    <col min="16" max="16" width="13.5" bestFit="1" customWidth="1"/>
    <col min="17" max="17" width="10.6640625" bestFit="1" customWidth="1"/>
  </cols>
  <sheetData>
    <row r="2" spans="2:15" x14ac:dyDescent="0.2">
      <c r="B2" s="8" t="s">
        <v>52</v>
      </c>
      <c r="C2" t="s">
        <v>54</v>
      </c>
      <c r="H2" s="8" t="s">
        <v>52</v>
      </c>
      <c r="I2" t="s">
        <v>54</v>
      </c>
      <c r="N2" s="8" t="s">
        <v>52</v>
      </c>
      <c r="O2" t="s">
        <v>54</v>
      </c>
    </row>
    <row r="3" spans="2:15" x14ac:dyDescent="0.2">
      <c r="B3" s="9" t="s">
        <v>13</v>
      </c>
      <c r="C3" s="7">
        <v>13300</v>
      </c>
      <c r="H3" s="9" t="s">
        <v>11</v>
      </c>
      <c r="I3" s="7">
        <v>59700</v>
      </c>
      <c r="N3" s="9" t="s">
        <v>12</v>
      </c>
      <c r="O3" s="7">
        <v>13300</v>
      </c>
    </row>
    <row r="4" spans="2:15" x14ac:dyDescent="0.2">
      <c r="B4" s="9" t="s">
        <v>4</v>
      </c>
      <c r="C4" s="7">
        <v>189000</v>
      </c>
      <c r="H4" s="9" t="s">
        <v>16</v>
      </c>
      <c r="I4" s="7">
        <v>16560</v>
      </c>
      <c r="N4" s="9" t="s">
        <v>3</v>
      </c>
      <c r="O4" s="7">
        <v>108000</v>
      </c>
    </row>
    <row r="5" spans="2:15" x14ac:dyDescent="0.2">
      <c r="B5" s="9" t="s">
        <v>18</v>
      </c>
      <c r="C5" s="7">
        <v>33120</v>
      </c>
      <c r="H5" s="9" t="s">
        <v>7</v>
      </c>
      <c r="I5" s="7">
        <v>61600</v>
      </c>
      <c r="N5" s="9" t="s">
        <v>8</v>
      </c>
      <c r="O5" s="7">
        <v>81000</v>
      </c>
    </row>
    <row r="6" spans="2:15" x14ac:dyDescent="0.2">
      <c r="B6" s="9" t="s">
        <v>53</v>
      </c>
      <c r="C6" s="7">
        <v>235420</v>
      </c>
      <c r="H6" s="9" t="s">
        <v>21</v>
      </c>
      <c r="I6" s="7">
        <v>16560</v>
      </c>
      <c r="N6" s="9" t="s">
        <v>17</v>
      </c>
      <c r="O6" s="7">
        <v>7360</v>
      </c>
    </row>
    <row r="7" spans="2:15" x14ac:dyDescent="0.2">
      <c r="H7" s="9" t="s">
        <v>2</v>
      </c>
      <c r="I7" s="7">
        <v>81000</v>
      </c>
      <c r="N7" s="9" t="s">
        <v>22</v>
      </c>
      <c r="O7" s="7">
        <v>25760</v>
      </c>
    </row>
    <row r="8" spans="2:15" x14ac:dyDescent="0.2">
      <c r="H8" s="9" t="s">
        <v>53</v>
      </c>
      <c r="I8" s="7">
        <v>235420</v>
      </c>
      <c r="N8" s="9" t="s">
        <v>53</v>
      </c>
      <c r="O8" s="7">
        <v>235420</v>
      </c>
    </row>
    <row r="25" spans="2:15" x14ac:dyDescent="0.2">
      <c r="B25" s="8" t="s">
        <v>52</v>
      </c>
      <c r="C25" t="s">
        <v>54</v>
      </c>
    </row>
    <row r="26" spans="2:15" x14ac:dyDescent="0.2">
      <c r="B26" s="9" t="s">
        <v>0</v>
      </c>
      <c r="C26" s="7">
        <v>54000</v>
      </c>
      <c r="G26" s="8" t="s">
        <v>52</v>
      </c>
      <c r="H26" t="s">
        <v>54</v>
      </c>
    </row>
    <row r="27" spans="2:15" x14ac:dyDescent="0.2">
      <c r="B27" s="9" t="s">
        <v>5</v>
      </c>
      <c r="C27" s="7">
        <v>54000</v>
      </c>
      <c r="G27" s="9" t="s">
        <v>1</v>
      </c>
      <c r="H27" s="7">
        <v>81000</v>
      </c>
      <c r="N27" s="8" t="s">
        <v>52</v>
      </c>
      <c r="O27" t="s">
        <v>55</v>
      </c>
    </row>
    <row r="28" spans="2:15" x14ac:dyDescent="0.2">
      <c r="B28" s="9" t="s">
        <v>9</v>
      </c>
      <c r="C28" s="7">
        <v>5700</v>
      </c>
      <c r="G28" s="9" t="s">
        <v>15</v>
      </c>
      <c r="H28" s="7">
        <v>16560</v>
      </c>
      <c r="N28" s="9" t="s">
        <v>56</v>
      </c>
      <c r="O28" s="7">
        <v>2</v>
      </c>
    </row>
    <row r="29" spans="2:15" x14ac:dyDescent="0.2">
      <c r="B29" s="9" t="s">
        <v>14</v>
      </c>
      <c r="C29" s="7">
        <v>3680</v>
      </c>
      <c r="G29" s="9" t="s">
        <v>20</v>
      </c>
      <c r="H29" s="7">
        <v>16560</v>
      </c>
      <c r="N29" s="9" t="s">
        <v>57</v>
      </c>
      <c r="O29" s="7">
        <v>8</v>
      </c>
    </row>
    <row r="30" spans="2:15" x14ac:dyDescent="0.2">
      <c r="B30" s="9" t="s">
        <v>19</v>
      </c>
      <c r="C30" s="7">
        <v>12880</v>
      </c>
      <c r="G30" s="9" t="s">
        <v>10</v>
      </c>
      <c r="H30" s="7">
        <v>59700</v>
      </c>
      <c r="N30" s="9" t="s">
        <v>53</v>
      </c>
      <c r="O30" s="7">
        <v>10</v>
      </c>
    </row>
    <row r="31" spans="2:15" x14ac:dyDescent="0.2">
      <c r="B31" s="9" t="s">
        <v>23</v>
      </c>
      <c r="C31" s="7">
        <v>27000</v>
      </c>
      <c r="G31" s="9" t="s">
        <v>6</v>
      </c>
      <c r="H31" s="7">
        <v>61600</v>
      </c>
    </row>
    <row r="32" spans="2:15" x14ac:dyDescent="0.2">
      <c r="B32" s="9" t="s">
        <v>24</v>
      </c>
      <c r="C32" s="7">
        <v>7600</v>
      </c>
      <c r="G32" s="9" t="s">
        <v>53</v>
      </c>
      <c r="H32" s="7">
        <v>235420</v>
      </c>
    </row>
    <row r="33" spans="2:3" x14ac:dyDescent="0.2">
      <c r="B33" s="9" t="s">
        <v>25</v>
      </c>
      <c r="C33" s="7">
        <v>54000</v>
      </c>
    </row>
    <row r="34" spans="2:3" x14ac:dyDescent="0.2">
      <c r="B34" s="9" t="s">
        <v>26</v>
      </c>
      <c r="C34" s="7">
        <v>12880</v>
      </c>
    </row>
    <row r="35" spans="2:3" x14ac:dyDescent="0.2">
      <c r="B35" s="9" t="s">
        <v>27</v>
      </c>
      <c r="C35" s="7">
        <v>3680</v>
      </c>
    </row>
    <row r="36" spans="2:3" x14ac:dyDescent="0.2">
      <c r="B36" s="9" t="s">
        <v>53</v>
      </c>
      <c r="C36" s="7">
        <v>235420</v>
      </c>
    </row>
  </sheetData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17C47-DC11-2247-A4FD-2C8C6DCCDA51}">
  <dimension ref="B1:I4"/>
  <sheetViews>
    <sheetView showGridLines="0" tabSelected="1" topLeftCell="A10" workbookViewId="0">
      <selection activeCell="P6" sqref="P6"/>
    </sheetView>
  </sheetViews>
  <sheetFormatPr baseColWidth="10" defaultRowHeight="26" x14ac:dyDescent="0.3"/>
  <cols>
    <col min="1" max="1" width="10.83203125" style="10"/>
    <col min="2" max="2" width="13.1640625" style="10" customWidth="1"/>
    <col min="3" max="3" width="10.83203125" style="10"/>
    <col min="4" max="4" width="20.83203125" style="13" customWidth="1"/>
    <col min="5" max="16384" width="10.83203125" style="10"/>
  </cols>
  <sheetData>
    <row r="1" spans="2:9" x14ac:dyDescent="0.3">
      <c r="D1" s="10"/>
      <c r="F1" s="11" t="s">
        <v>58</v>
      </c>
    </row>
    <row r="3" spans="2:9" x14ac:dyDescent="0.3">
      <c r="B3" s="12" t="s">
        <v>59</v>
      </c>
      <c r="E3" s="14" t="s">
        <v>60</v>
      </c>
      <c r="I3" s="14" t="s">
        <v>61</v>
      </c>
    </row>
    <row r="4" spans="2:9" x14ac:dyDescent="0.3">
      <c r="B4" s="15">
        <v>235420</v>
      </c>
      <c r="E4" s="10">
        <v>10</v>
      </c>
      <c r="I4" s="10">
        <v>10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zoomScale="150" zoomScaleNormal="150" workbookViewId="0">
      <selection activeCell="G14" sqref="G14"/>
    </sheetView>
  </sheetViews>
  <sheetFormatPr baseColWidth="10" defaultColWidth="8.83203125" defaultRowHeight="15" x14ac:dyDescent="0.2"/>
  <cols>
    <col min="1" max="1" width="11.6640625" customWidth="1"/>
    <col min="2" max="2" width="14.33203125" customWidth="1"/>
    <col min="3" max="3" width="12.83203125" customWidth="1"/>
    <col min="4" max="4" width="15.5" customWidth="1"/>
    <col min="5" max="5" width="10.6640625" customWidth="1"/>
    <col min="6" max="6" width="15.1640625" customWidth="1"/>
    <col min="7" max="7" width="14.33203125" customWidth="1"/>
    <col min="8" max="8" width="10.1640625" customWidth="1"/>
    <col min="9" max="9" width="12.5" customWidth="1"/>
    <col min="10" max="10" width="11.5" customWidth="1"/>
    <col min="11" max="11" width="13.33203125" customWidth="1"/>
    <col min="12" max="12" width="12.5" customWidth="1"/>
    <col min="13" max="13" width="11.5" customWidth="1"/>
    <col min="14" max="14" width="14.1640625" customWidth="1"/>
    <col min="15" max="15" width="13.33203125" customWidth="1"/>
    <col min="16" max="16" width="13.83203125" customWidth="1"/>
    <col min="17" max="17" width="13.5" customWidth="1"/>
    <col min="18" max="18" width="12.6640625" customWidth="1"/>
  </cols>
  <sheetData>
    <row r="1" spans="1:16" x14ac:dyDescent="0.2">
      <c r="A1" s="1" t="s">
        <v>47</v>
      </c>
      <c r="B1" s="1" t="s">
        <v>46</v>
      </c>
      <c r="C1" s="1" t="s">
        <v>45</v>
      </c>
      <c r="D1" s="1" t="s">
        <v>44</v>
      </c>
      <c r="E1" s="1" t="s">
        <v>43</v>
      </c>
      <c r="F1" s="1" t="s">
        <v>42</v>
      </c>
      <c r="G1" s="1" t="s">
        <v>38</v>
      </c>
      <c r="H1" s="1" t="s">
        <v>39</v>
      </c>
      <c r="I1" s="1" t="s">
        <v>29</v>
      </c>
      <c r="J1" s="1" t="s">
        <v>40</v>
      </c>
      <c r="K1" s="1" t="s">
        <v>32</v>
      </c>
      <c r="L1" s="1" t="s">
        <v>28</v>
      </c>
      <c r="M1" s="1" t="s">
        <v>31</v>
      </c>
      <c r="N1" s="1" t="s">
        <v>33</v>
      </c>
      <c r="O1" s="1" t="s">
        <v>41</v>
      </c>
      <c r="P1" s="3" t="s">
        <v>30</v>
      </c>
    </row>
    <row r="2" spans="1:16" x14ac:dyDescent="0.2">
      <c r="A2">
        <v>1</v>
      </c>
      <c r="B2" t="s">
        <v>0</v>
      </c>
      <c r="C2">
        <v>1</v>
      </c>
      <c r="D2" t="s">
        <v>1</v>
      </c>
      <c r="E2">
        <v>1</v>
      </c>
      <c r="F2" t="s">
        <v>3</v>
      </c>
      <c r="G2" t="s">
        <v>4</v>
      </c>
      <c r="H2">
        <v>1</v>
      </c>
      <c r="I2" s="2" t="str">
        <f>IF(H2&gt;2,"Bulk order","Regular order")</f>
        <v>Regular order</v>
      </c>
      <c r="J2" s="2">
        <v>60000</v>
      </c>
      <c r="K2" s="2" t="str">
        <f>IF(J2&gt;25000,"High","Low")</f>
        <v>High</v>
      </c>
      <c r="L2" s="2">
        <f>J2*H2</f>
        <v>60000</v>
      </c>
      <c r="M2" s="5">
        <f>VLOOKUP(G2,L$17:M$19,2,FALSE)</f>
        <v>0.1</v>
      </c>
      <c r="N2" s="2">
        <f>L2*(1-M2)</f>
        <v>54000</v>
      </c>
      <c r="O2" t="s">
        <v>2</v>
      </c>
      <c r="P2" t="str">
        <f>TRIM(I2)</f>
        <v>Regular order</v>
      </c>
    </row>
    <row r="3" spans="1:16" x14ac:dyDescent="0.2">
      <c r="A3">
        <v>2</v>
      </c>
      <c r="B3" t="s">
        <v>5</v>
      </c>
      <c r="C3">
        <v>2</v>
      </c>
      <c r="D3" t="s">
        <v>6</v>
      </c>
      <c r="E3">
        <v>2</v>
      </c>
      <c r="F3" t="s">
        <v>8</v>
      </c>
      <c r="G3" t="s">
        <v>4</v>
      </c>
      <c r="H3">
        <v>2</v>
      </c>
      <c r="I3" s="2" t="str">
        <f>IF(H3&gt;2,"Bulk order","Regular order")</f>
        <v>Regular order</v>
      </c>
      <c r="J3" s="2">
        <v>30000</v>
      </c>
      <c r="K3" s="2" t="str">
        <f t="shared" ref="K3:K11" si="0">IF(J3&gt;25000,"High","Low")</f>
        <v>High</v>
      </c>
      <c r="L3" s="2">
        <f>J3*H3</f>
        <v>60000</v>
      </c>
      <c r="M3" s="5">
        <f>VLOOKUP(G3,L$17:M$19,2,FALSE)</f>
        <v>0.1</v>
      </c>
      <c r="N3" s="2">
        <f t="shared" ref="N3:N11" si="1">L3*(1-M3)</f>
        <v>54000</v>
      </c>
      <c r="O3" t="s">
        <v>7</v>
      </c>
      <c r="P3" t="str">
        <f>PROPER(I3)</f>
        <v>Regular Order</v>
      </c>
    </row>
    <row r="4" spans="1:16" x14ac:dyDescent="0.2">
      <c r="A4">
        <v>3</v>
      </c>
      <c r="B4" t="s">
        <v>9</v>
      </c>
      <c r="C4">
        <v>3</v>
      </c>
      <c r="D4" t="s">
        <v>10</v>
      </c>
      <c r="E4">
        <v>3</v>
      </c>
      <c r="F4" t="s">
        <v>12</v>
      </c>
      <c r="G4" t="s">
        <v>13</v>
      </c>
      <c r="H4">
        <v>3</v>
      </c>
      <c r="I4" s="2" t="str">
        <f>IF(H4&gt;2,"Bulk order","Regular order")</f>
        <v>Bulk order</v>
      </c>
      <c r="J4" s="2">
        <v>2000</v>
      </c>
      <c r="K4" s="2" t="str">
        <f t="shared" si="0"/>
        <v>Low</v>
      </c>
      <c r="L4" s="2">
        <f>J4*H4</f>
        <v>6000</v>
      </c>
      <c r="M4" s="5">
        <f>VLOOKUP(G4,L$17:M$19,2,FALSE)</f>
        <v>0.05</v>
      </c>
      <c r="N4" s="2">
        <f t="shared" si="1"/>
        <v>5700</v>
      </c>
      <c r="O4" t="s">
        <v>11</v>
      </c>
      <c r="P4" t="str">
        <f>UPPER(I4)</f>
        <v>BULK ORDER</v>
      </c>
    </row>
    <row r="5" spans="1:16" x14ac:dyDescent="0.2">
      <c r="A5">
        <v>4</v>
      </c>
      <c r="B5" t="s">
        <v>14</v>
      </c>
      <c r="C5">
        <v>4</v>
      </c>
      <c r="D5" t="s">
        <v>15</v>
      </c>
      <c r="E5">
        <v>4</v>
      </c>
      <c r="F5" t="s">
        <v>17</v>
      </c>
      <c r="G5" t="s">
        <v>18</v>
      </c>
      <c r="H5">
        <v>1</v>
      </c>
      <c r="I5" s="2" t="str">
        <f>IF(H5&gt;2,"Bulk order","Regular order")</f>
        <v>Regular order</v>
      </c>
      <c r="J5" s="2">
        <v>4000</v>
      </c>
      <c r="K5" s="2" t="str">
        <f t="shared" si="0"/>
        <v>Low</v>
      </c>
      <c r="L5" s="2">
        <f>J5*H5</f>
        <v>4000</v>
      </c>
      <c r="M5" s="5">
        <f>VLOOKUP(G5,L$17:M$19,2,FALSE)</f>
        <v>0.08</v>
      </c>
      <c r="N5" s="2">
        <f t="shared" si="1"/>
        <v>3680</v>
      </c>
      <c r="O5" t="s">
        <v>16</v>
      </c>
    </row>
    <row r="6" spans="1:16" x14ac:dyDescent="0.2">
      <c r="A6">
        <v>5</v>
      </c>
      <c r="B6" t="s">
        <v>19</v>
      </c>
      <c r="C6">
        <v>5</v>
      </c>
      <c r="D6" t="s">
        <v>20</v>
      </c>
      <c r="E6">
        <v>5</v>
      </c>
      <c r="F6" t="s">
        <v>22</v>
      </c>
      <c r="G6" t="s">
        <v>18</v>
      </c>
      <c r="H6">
        <v>2</v>
      </c>
      <c r="I6" s="2" t="str">
        <f>IF(H6&gt;2,"Bulk order","Regular order")</f>
        <v>Regular order</v>
      </c>
      <c r="J6" s="2">
        <v>7000</v>
      </c>
      <c r="K6" s="2" t="str">
        <f t="shared" si="0"/>
        <v>Low</v>
      </c>
      <c r="L6" s="2">
        <f>J6*H6</f>
        <v>14000</v>
      </c>
      <c r="M6" s="5">
        <f>VLOOKUP(G6,L$17:M$19,2,FALSE)</f>
        <v>0.08</v>
      </c>
      <c r="N6" s="2">
        <f t="shared" si="1"/>
        <v>12880</v>
      </c>
      <c r="O6" t="s">
        <v>21</v>
      </c>
    </row>
    <row r="7" spans="1:16" x14ac:dyDescent="0.2">
      <c r="A7">
        <v>6</v>
      </c>
      <c r="B7" t="s">
        <v>23</v>
      </c>
      <c r="C7">
        <v>1</v>
      </c>
      <c r="D7" t="s">
        <v>1</v>
      </c>
      <c r="E7">
        <v>2</v>
      </c>
      <c r="F7" t="s">
        <v>8</v>
      </c>
      <c r="G7" t="s">
        <v>4</v>
      </c>
      <c r="H7">
        <v>1</v>
      </c>
      <c r="I7" s="2" t="str">
        <f>IF(H7&gt;2,"Bulk order","Regular order")</f>
        <v>Regular order</v>
      </c>
      <c r="J7" s="2">
        <v>30000</v>
      </c>
      <c r="K7" s="2" t="str">
        <f t="shared" si="0"/>
        <v>High</v>
      </c>
      <c r="L7" s="2">
        <f>J7*H7</f>
        <v>30000</v>
      </c>
      <c r="M7" s="5">
        <f>VLOOKUP(G7,L$17:M$19,2,FALSE)</f>
        <v>0.1</v>
      </c>
      <c r="N7" s="2">
        <f t="shared" si="1"/>
        <v>27000</v>
      </c>
      <c r="O7" t="s">
        <v>2</v>
      </c>
    </row>
    <row r="8" spans="1:16" x14ac:dyDescent="0.2">
      <c r="A8">
        <v>7</v>
      </c>
      <c r="B8" t="s">
        <v>24</v>
      </c>
      <c r="C8">
        <v>2</v>
      </c>
      <c r="D8" t="s">
        <v>6</v>
      </c>
      <c r="E8">
        <v>3</v>
      </c>
      <c r="F8" t="s">
        <v>12</v>
      </c>
      <c r="G8" t="s">
        <v>13</v>
      </c>
      <c r="H8">
        <v>4</v>
      </c>
      <c r="I8" s="2" t="str">
        <f>IF(H8&gt;2,"Bulk order","Regular order")</f>
        <v>Bulk order</v>
      </c>
      <c r="J8" s="2">
        <v>2000</v>
      </c>
      <c r="K8" s="2" t="str">
        <f t="shared" si="0"/>
        <v>Low</v>
      </c>
      <c r="L8" s="2">
        <f>J8*H8</f>
        <v>8000</v>
      </c>
      <c r="M8" s="5">
        <f>VLOOKUP(G8,L$17:M$19,2,FALSE)</f>
        <v>0.05</v>
      </c>
      <c r="N8" s="2">
        <f t="shared" si="1"/>
        <v>7600</v>
      </c>
      <c r="O8" t="s">
        <v>7</v>
      </c>
    </row>
    <row r="9" spans="1:16" x14ac:dyDescent="0.2">
      <c r="A9">
        <v>8</v>
      </c>
      <c r="B9" t="s">
        <v>25</v>
      </c>
      <c r="C9">
        <v>3</v>
      </c>
      <c r="D9" t="s">
        <v>10</v>
      </c>
      <c r="E9">
        <v>1</v>
      </c>
      <c r="F9" t="s">
        <v>3</v>
      </c>
      <c r="G9" t="s">
        <v>4</v>
      </c>
      <c r="H9">
        <v>1</v>
      </c>
      <c r="I9" s="2" t="str">
        <f>IF(H9&gt;2,"Bulk order","Regular order")</f>
        <v>Regular order</v>
      </c>
      <c r="J9" s="2">
        <v>60000</v>
      </c>
      <c r="K9" s="2" t="str">
        <f t="shared" si="0"/>
        <v>High</v>
      </c>
      <c r="L9" s="2">
        <f>J9*H9</f>
        <v>60000</v>
      </c>
      <c r="M9" s="5">
        <f>VLOOKUP(G9,L$17:M$19,2,FALSE)</f>
        <v>0.1</v>
      </c>
      <c r="N9" s="2">
        <f t="shared" si="1"/>
        <v>54000</v>
      </c>
      <c r="O9" t="s">
        <v>11</v>
      </c>
    </row>
    <row r="10" spans="1:16" x14ac:dyDescent="0.2">
      <c r="A10">
        <v>9</v>
      </c>
      <c r="B10" t="s">
        <v>26</v>
      </c>
      <c r="C10">
        <v>4</v>
      </c>
      <c r="D10" t="s">
        <v>15</v>
      </c>
      <c r="E10">
        <v>5</v>
      </c>
      <c r="F10" t="s">
        <v>22</v>
      </c>
      <c r="G10" t="s">
        <v>18</v>
      </c>
      <c r="H10">
        <v>2</v>
      </c>
      <c r="I10" s="2" t="str">
        <f>IF(H10&gt;2,"Bulk order","Regular order")</f>
        <v>Regular order</v>
      </c>
      <c r="J10" s="2">
        <v>7000</v>
      </c>
      <c r="K10" s="2" t="str">
        <f t="shared" si="0"/>
        <v>Low</v>
      </c>
      <c r="L10" s="2">
        <f>J10*H10</f>
        <v>14000</v>
      </c>
      <c r="M10" s="5">
        <f>VLOOKUP(G10,L$17:M$19,2,FALSE)</f>
        <v>0.08</v>
      </c>
      <c r="N10" s="2">
        <f t="shared" si="1"/>
        <v>12880</v>
      </c>
      <c r="O10" t="s">
        <v>16</v>
      </c>
    </row>
    <row r="11" spans="1:16" x14ac:dyDescent="0.2">
      <c r="A11">
        <v>10</v>
      </c>
      <c r="B11" t="s">
        <v>27</v>
      </c>
      <c r="C11">
        <v>5</v>
      </c>
      <c r="D11" t="s">
        <v>20</v>
      </c>
      <c r="E11">
        <v>4</v>
      </c>
      <c r="F11" t="s">
        <v>17</v>
      </c>
      <c r="G11" t="s">
        <v>18</v>
      </c>
      <c r="H11">
        <v>1</v>
      </c>
      <c r="I11" s="2" t="str">
        <f>IF(H11&gt;2,"Bulk order","Regular order")</f>
        <v>Regular order</v>
      </c>
      <c r="J11" s="2">
        <v>4000</v>
      </c>
      <c r="K11" s="2" t="str">
        <f t="shared" si="0"/>
        <v>Low</v>
      </c>
      <c r="L11" s="2">
        <f>J11*H11</f>
        <v>4000</v>
      </c>
      <c r="M11" s="5">
        <f>VLOOKUP(G11,L$17:M$19,2,FALSE)</f>
        <v>0.08</v>
      </c>
      <c r="N11" s="2">
        <f t="shared" si="1"/>
        <v>3680</v>
      </c>
      <c r="O11" t="s">
        <v>21</v>
      </c>
    </row>
    <row r="15" spans="1:16" x14ac:dyDescent="0.2">
      <c r="L15" t="s">
        <v>34</v>
      </c>
      <c r="M15" t="s">
        <v>35</v>
      </c>
    </row>
    <row r="16" spans="1:16" x14ac:dyDescent="0.2">
      <c r="L16" t="s">
        <v>36</v>
      </c>
      <c r="M16" t="s">
        <v>37</v>
      </c>
    </row>
    <row r="17" spans="1:13" x14ac:dyDescent="0.2">
      <c r="A17" t="s">
        <v>48</v>
      </c>
      <c r="C17" s="6">
        <f>MAX(J2:J11)</f>
        <v>60000</v>
      </c>
      <c r="L17" t="s">
        <v>4</v>
      </c>
      <c r="M17" s="4">
        <v>0.1</v>
      </c>
    </row>
    <row r="18" spans="1:13" x14ac:dyDescent="0.2">
      <c r="A18" t="s">
        <v>49</v>
      </c>
      <c r="C18">
        <f>AVERAGE(H2:H11)</f>
        <v>1.8</v>
      </c>
      <c r="L18" t="s">
        <v>18</v>
      </c>
      <c r="M18" s="4">
        <v>0.08</v>
      </c>
    </row>
    <row r="19" spans="1:13" x14ac:dyDescent="0.2">
      <c r="A19" t="s">
        <v>51</v>
      </c>
      <c r="C19" s="6">
        <f>SUM(N2:N11)</f>
        <v>235420</v>
      </c>
      <c r="L19" t="s">
        <v>13</v>
      </c>
      <c r="M19" s="4">
        <v>0.05</v>
      </c>
    </row>
    <row r="20" spans="1:13" x14ac:dyDescent="0.2">
      <c r="A20" t="s">
        <v>50</v>
      </c>
      <c r="C20">
        <f>COUNTIF(O2:O11, "Mumbai")</f>
        <v>2</v>
      </c>
    </row>
    <row r="21" spans="1:13" x14ac:dyDescent="0.2">
      <c r="A21" t="s">
        <v>60</v>
      </c>
      <c r="C21">
        <f>COUNT(A2:A11)</f>
        <v>10</v>
      </c>
    </row>
  </sheetData>
  <sortState xmlns:xlrd2="http://schemas.microsoft.com/office/spreadsheetml/2017/richdata2" ref="A2:S11">
    <sortCondition ref="D2:D11"/>
  </sortState>
  <conditionalFormatting sqref="I2:I11">
    <cfRule type="containsText" dxfId="3" priority="9" operator="containsText" text="Bulk order">
      <formula>NOT(ISERROR(SEARCH("Bulk order",I2)))</formula>
    </cfRule>
    <cfRule type="containsText" dxfId="2" priority="10" operator="containsText" text="Bulk order">
      <formula>NOT(ISERROR(SEARCH("Bulk order",I2)))</formula>
    </cfRule>
  </conditionalFormatting>
  <conditionalFormatting sqref="J2:J11">
    <cfRule type="colorScale" priority="3">
      <colorScale>
        <cfvo type="min"/>
        <cfvo type="max"/>
        <color rgb="FFFCFCFF"/>
        <color rgb="FF63BE7B"/>
      </colorScale>
    </cfRule>
  </conditionalFormatting>
  <conditionalFormatting sqref="K2:K11">
    <cfRule type="containsText" dxfId="1" priority="2" operator="containsText" text="low">
      <formula>NOT(ISERROR(SEARCH("low",K2)))</formula>
    </cfRule>
  </conditionalFormatting>
  <conditionalFormatting sqref="N2:N11">
    <cfRule type="cellIs" dxfId="0" priority="1" operator="greaterThan">
      <formula>50000</formula>
    </cfRule>
  </conditionalFormatting>
  <dataValidations count="2">
    <dataValidation type="list" allowBlank="1" showInputMessage="1" showErrorMessage="1" sqref="G1:G11" xr:uid="{203E4A14-6147-8040-B30B-819BDDF20D96}">
      <formula1>"Electronics, Fashion, Accessories"</formula1>
    </dataValidation>
    <dataValidation type="list" allowBlank="1" showInputMessage="1" showErrorMessage="1" sqref="O2:O11" xr:uid="{BF02A4B6-E896-134F-9551-3153E7184534}">
      <formula1>"Mumbai,Delhi,Bangalore,Chennai"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tables and charts</vt:lpstr>
      <vt:lpstr>sales_dashboard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Shivani sunarkari</cp:lastModifiedBy>
  <dcterms:created xsi:type="dcterms:W3CDTF">2026-03-11T12:12:42Z</dcterms:created>
  <dcterms:modified xsi:type="dcterms:W3CDTF">2026-03-11T14:44:36Z</dcterms:modified>
</cp:coreProperties>
</file>